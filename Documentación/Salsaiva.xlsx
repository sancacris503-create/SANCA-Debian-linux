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Hoja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<sst xmlns="http://schemas.openxmlformats.org/spreadsheetml/2006/main" count="25" uniqueCount="25">
  <si>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Costos de Apertura</t>
  </si>
  <si>
    <t xml:space="preserve">Costos Fijos</t>
  </si>
  <si>
    <t xml:space="preserve">Costos Variables</t>
  </si>
  <si>
    <t>Cantidad</t>
  </si>
  <si>
    <t>Costo</t>
  </si>
  <si>
    <t>Terreno</t>
  </si>
  <si>
    <t>Infraestructura</t>
  </si>
  <si>
    <t xml:space="preserve">Muebles y enseres</t>
  </si>
  <si>
    <t>Maquinaria</t>
  </si>
  <si>
    <t xml:space="preserve">Servicios básicos</t>
  </si>
  <si>
    <t xml:space="preserve">Material de escritorio</t>
  </si>
  <si>
    <t xml:space="preserve">Marketing Digital</t>
  </si>
  <si>
    <t>Hosting</t>
  </si>
  <si>
    <t>Dominio</t>
  </si>
  <si>
    <t xml:space="preserve">Mano de obra artesanal</t>
  </si>
  <si>
    <t xml:space="preserve">Materia Prima</t>
  </si>
  <si>
    <t xml:space="preserve">Transporte </t>
  </si>
  <si>
    <t xml:space="preserve">Envaces de vidrio</t>
  </si>
  <si>
    <t>Etiquetas</t>
  </si>
  <si>
    <t>Vinagre</t>
  </si>
  <si>
    <t xml:space="preserve">147 l</t>
  </si>
  <si>
    <t>Azucar</t>
  </si>
  <si>
    <t xml:space="preserve">700 kg</t>
  </si>
  <si>
    <t xml:space="preserve">Total costos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</si>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</sst>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[$Bs-400A]* #,##0.00_-;\-[$Bs-400A]* #,##0.00_-;_-[$Bs-400A]* &quot;-&quot;??_-;_-@_-"/>
  </numFmts>
  <fonts count="1">
    <font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 tint="0.59999389629810485"/>
      </patternFill>
    </fill>
    <fill>
      <patternFill patternType="solid">
        <fgColor theme="4" tint="0.79998168889431442"/>
      </patternFill>
    </fill>
  </fills>
  <borders count="23">
    <border>
      <left style="none"/>
      <right style="none"/>
      <top style="none"/>
      <bottom style="none"/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34">
    <xf fontId="0" fillId="0" borderId="0" numFmtId="0" xfId="0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3" borderId="4" numFmtId="0" xfId="0" applyFill="1" applyBorder="1"/>
    <xf fontId="0" fillId="3" borderId="5" numFmtId="0" xfId="0" applyFill="1" applyBorder="1" applyAlignment="1">
      <alignment horizontal="center"/>
    </xf>
    <xf fontId="0" fillId="3" borderId="6" numFmtId="0" xfId="0" applyFill="1" applyBorder="1" applyAlignment="1">
      <alignment horizontal="center"/>
    </xf>
    <xf fontId="0" fillId="3" borderId="4" numFmtId="0" xfId="0" applyFill="1" applyBorder="1" applyAlignment="1">
      <alignment horizontal="center"/>
    </xf>
    <xf fontId="0" fillId="3" borderId="3" numFmtId="0" xfId="0" applyFill="1" applyBorder="1" applyAlignment="1">
      <alignment horizontal="center"/>
    </xf>
    <xf fontId="0" fillId="0" borderId="7" numFmtId="0" xfId="0" applyBorder="1" applyAlignment="1">
      <alignment horizontal="center"/>
    </xf>
    <xf fontId="0" fillId="0" borderId="8" numFmtId="0" xfId="0" applyBorder="1" applyAlignment="1">
      <alignment horizontal="left"/>
    </xf>
    <xf fontId="0" fillId="0" borderId="9" numFmtId="0" xfId="0" applyBorder="1" applyAlignment="1">
      <alignment horizontal="left"/>
    </xf>
    <xf fontId="0" fillId="0" borderId="8" numFmtId="164" xfId="0" applyNumberFormat="1" applyBorder="1" applyAlignment="1">
      <alignment horizontal="center"/>
    </xf>
    <xf fontId="0" fillId="0" borderId="10" numFmtId="164" xfId="0" applyNumberFormat="1" applyBorder="1" applyAlignment="1">
      <alignment horizontal="center"/>
    </xf>
    <xf fontId="0" fillId="0" borderId="11" numFmtId="0" xfId="0" applyBorder="1" applyAlignment="1">
      <alignment horizontal="center"/>
    </xf>
    <xf fontId="0" fillId="0" borderId="12" numFmtId="0" xfId="0" applyBorder="1" applyAlignment="1">
      <alignment horizontal="left"/>
    </xf>
    <xf fontId="0" fillId="0" borderId="13" numFmtId="0" xfId="0" applyBorder="1" applyAlignment="1">
      <alignment horizontal="left"/>
    </xf>
    <xf fontId="0" fillId="0" borderId="12" numFmtId="164" xfId="0" applyNumberFormat="1" applyBorder="1" applyAlignment="1">
      <alignment horizontal="center"/>
    </xf>
    <xf fontId="0" fillId="0" borderId="14" numFmtId="164" xfId="0" applyNumberFormat="1" applyBorder="1" applyAlignment="1">
      <alignment horizontal="center"/>
    </xf>
    <xf fontId="0" fillId="0" borderId="12" numFmtId="0" xfId="0" applyBorder="1" applyAlignment="1">
      <alignment horizontal="left"/>
    </xf>
    <xf fontId="0" fillId="0" borderId="12" numFmtId="164" xfId="0" applyNumberFormat="1" applyBorder="1"/>
    <xf fontId="0" fillId="0" borderId="15" numFmtId="164" xfId="0" applyNumberFormat="1" applyBorder="1" applyAlignment="1">
      <alignment horizontal="center"/>
    </xf>
    <xf fontId="0" fillId="0" borderId="16" numFmtId="0" xfId="0" applyBorder="1" applyAlignment="1">
      <alignment horizontal="center"/>
    </xf>
    <xf fontId="0" fillId="0" borderId="17" numFmtId="0" xfId="0" applyBorder="1" applyAlignment="1">
      <alignment horizontal="left"/>
    </xf>
    <xf fontId="0" fillId="0" borderId="18" numFmtId="0" xfId="0" applyBorder="1" applyAlignment="1">
      <alignment horizontal="left"/>
    </xf>
    <xf fontId="0" fillId="0" borderId="17" numFmtId="164" xfId="0" applyNumberFormat="1" applyBorder="1" applyAlignment="1">
      <alignment horizontal="center"/>
    </xf>
    <xf fontId="0" fillId="0" borderId="19" numFmtId="164" xfId="0" applyNumberFormat="1" applyBorder="1" applyAlignment="1">
      <alignment horizontal="center"/>
    </xf>
    <xf fontId="0" fillId="3" borderId="20" numFmtId="0" xfId="0" applyFill="1" applyBorder="1" applyAlignment="1">
      <alignment horizontal="center"/>
    </xf>
    <xf fontId="0" fillId="3" borderId="21" numFmtId="0" xfId="0" applyFill="1" applyBorder="1" applyAlignment="1">
      <alignment horizontal="center"/>
    </xf>
    <xf fontId="0" fillId="3" borderId="22" numFmtId="0" xfId="0" applyFill="1" applyBorder="1" applyAlignment="1">
      <alignment horizontal="center"/>
    </xf>
    <xf fontId="0" fillId="4" borderId="4" numFmtId="164" xfId="0" applyNumberFormat="1" applyFill="1" applyBorder="1" applyAlignment="1">
      <alignment horizontal="center"/>
    </xf>
    <xf fontId="0" fillId="4" borderId="22" numFmtId="164" xfId="0" applyNumberFormat="1" applyFill="1" applyBorder="1" applyAlignment="1">
      <alignment horizontal="center"/>
    </xf>
    <xf fontId="0" fillId="3" borderId="20" numFmtId="0" xfId="0" applyFill="1" applyBorder="1" applyAlignment="1">
      <alignment horizontal="center"/>
    </xf>
    <xf fontId="0" fillId="4" borderId="20" numFmtId="16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J23" activeCellId="0" sqref="J23"/>
    </sheetView>
  </sheetViews>
  <sheetFormatPr baseColWidth="10" defaultRowHeight="14.25"/>
  <cols>
    <col bestFit="1" customWidth="1" min="2" max="2" width="3"/>
    <col bestFit="1" customWidth="1" min="3" max="3" width="19.6640625"/>
    <col bestFit="1" customWidth="1" min="4" max="4" width="20.6640625"/>
    <col bestFit="1" customWidth="1" min="5" max="5" width="8.21875"/>
    <col customWidth="1" min="6" max="6" width="16.33203125"/>
    <col customWidth="1" min="7" max="7" width="16.6640625"/>
  </cols>
  <sheetData>
    <row r="1" ht="15"/>
    <row r="2" ht="15">
      <c r="B2" s="1" t="s">
        <v>0</v>
      </c>
      <c r="C2" s="2"/>
      <c r="D2" s="2"/>
      <c r="E2" s="2"/>
      <c r="F2" s="2"/>
      <c r="G2" s="3"/>
    </row>
    <row r="3" ht="15">
      <c r="B3" s="4"/>
      <c r="C3" s="5" t="s">
        <v>1</v>
      </c>
      <c r="D3" s="6" t="s">
        <v>2</v>
      </c>
      <c r="E3" s="7" t="s">
        <v>3</v>
      </c>
      <c r="F3" s="5" t="s">
        <v>4</v>
      </c>
      <c r="G3" s="8"/>
    </row>
    <row r="4">
      <c r="B4" s="9">
        <v>1</v>
      </c>
      <c r="C4" s="10" t="s">
        <v>5</v>
      </c>
      <c r="D4" s="11"/>
      <c r="E4" s="9">
        <v>1</v>
      </c>
      <c r="F4" s="12">
        <v>280000</v>
      </c>
      <c r="G4" s="13"/>
    </row>
    <row r="5">
      <c r="B5" s="14">
        <v>2</v>
      </c>
      <c r="C5" s="15" t="s">
        <v>6</v>
      </c>
      <c r="D5" s="16"/>
      <c r="E5" s="14">
        <v>1</v>
      </c>
      <c r="F5" s="17">
        <v>196000</v>
      </c>
      <c r="G5" s="18"/>
    </row>
    <row r="6">
      <c r="B6" s="14">
        <v>3</v>
      </c>
      <c r="C6" s="15" t="s">
        <v>7</v>
      </c>
      <c r="D6" s="16"/>
      <c r="E6" s="14">
        <v>7</v>
      </c>
      <c r="F6" s="17">
        <v>5000</v>
      </c>
      <c r="G6" s="18"/>
    </row>
    <row r="7">
      <c r="B7" s="14">
        <v>4</v>
      </c>
      <c r="C7" s="15" t="s">
        <v>8</v>
      </c>
      <c r="D7" s="16"/>
      <c r="E7" s="14">
        <v>2</v>
      </c>
      <c r="F7" s="17">
        <v>67000</v>
      </c>
      <c r="G7" s="18"/>
    </row>
    <row r="8">
      <c r="B8" s="14">
        <v>5</v>
      </c>
      <c r="C8" s="15" t="s">
        <v>9</v>
      </c>
      <c r="D8" s="16"/>
      <c r="E8" s="14">
        <v>4</v>
      </c>
      <c r="F8" s="17">
        <v>430</v>
      </c>
      <c r="G8" s="18"/>
    </row>
    <row r="9">
      <c r="B9" s="14">
        <v>6</v>
      </c>
      <c r="C9" s="15" t="s">
        <v>10</v>
      </c>
      <c r="D9" s="16"/>
      <c r="E9" s="14">
        <v>120</v>
      </c>
      <c r="F9" s="17">
        <v>300</v>
      </c>
      <c r="G9" s="18"/>
    </row>
    <row r="10">
      <c r="B10" s="14">
        <v>7</v>
      </c>
      <c r="C10" s="15" t="s">
        <v>11</v>
      </c>
      <c r="D10" s="16"/>
      <c r="E10" s="14">
        <v>3</v>
      </c>
      <c r="F10" s="17">
        <v>3000</v>
      </c>
      <c r="G10" s="18"/>
    </row>
    <row r="11">
      <c r="B11" s="14">
        <v>8</v>
      </c>
      <c r="C11" s="15" t="s">
        <v>12</v>
      </c>
      <c r="D11" s="16"/>
      <c r="E11" s="14">
        <v>1</v>
      </c>
      <c r="F11" s="17">
        <v>320</v>
      </c>
      <c r="G11" s="18"/>
    </row>
    <row r="12">
      <c r="B12" s="14">
        <v>9</v>
      </c>
      <c r="C12" s="15" t="s">
        <v>13</v>
      </c>
      <c r="D12" s="16"/>
      <c r="E12" s="14">
        <v>1</v>
      </c>
      <c r="F12" s="17">
        <v>280</v>
      </c>
      <c r="G12" s="18"/>
    </row>
    <row r="13">
      <c r="B13" s="14">
        <v>10</v>
      </c>
      <c r="C13" s="19" t="s">
        <v>14</v>
      </c>
      <c r="D13" s="16"/>
      <c r="E13" s="14">
        <v>5</v>
      </c>
      <c r="F13" s="17">
        <v>16500</v>
      </c>
      <c r="G13" s="18"/>
    </row>
    <row r="14">
      <c r="B14" s="14">
        <v>11</v>
      </c>
      <c r="C14" s="15"/>
      <c r="D14" s="16" t="s">
        <v>15</v>
      </c>
      <c r="E14" s="14">
        <v>700</v>
      </c>
      <c r="F14" s="20"/>
      <c r="G14" s="21">
        <v>150</v>
      </c>
    </row>
    <row r="15">
      <c r="B15" s="14">
        <v>12</v>
      </c>
      <c r="C15" s="15"/>
      <c r="D15" s="16" t="s">
        <v>16</v>
      </c>
      <c r="E15" s="14">
        <v>1</v>
      </c>
      <c r="F15" s="20"/>
      <c r="G15" s="21">
        <v>42000</v>
      </c>
    </row>
    <row r="16">
      <c r="B16" s="14">
        <v>13</v>
      </c>
      <c r="C16" s="15"/>
      <c r="D16" s="16" t="s">
        <v>17</v>
      </c>
      <c r="E16" s="14">
        <v>1000</v>
      </c>
      <c r="F16" s="17"/>
      <c r="G16" s="18">
        <v>3000</v>
      </c>
    </row>
    <row r="17">
      <c r="B17" s="14">
        <v>14</v>
      </c>
      <c r="C17" s="15"/>
      <c r="D17" s="16" t="s">
        <v>18</v>
      </c>
      <c r="E17" s="14">
        <v>1000</v>
      </c>
      <c r="F17" s="20"/>
      <c r="G17" s="21">
        <v>130</v>
      </c>
    </row>
    <row r="18">
      <c r="B18" s="14">
        <v>15</v>
      </c>
      <c r="C18" s="15"/>
      <c r="D18" s="16" t="s">
        <v>19</v>
      </c>
      <c r="E18" s="14" t="s">
        <v>20</v>
      </c>
      <c r="F18" s="17"/>
      <c r="G18" s="18">
        <v>470</v>
      </c>
    </row>
    <row r="19" ht="15">
      <c r="B19" s="22">
        <v>16</v>
      </c>
      <c r="C19" s="23"/>
      <c r="D19" s="24" t="s">
        <v>21</v>
      </c>
      <c r="E19" s="22" t="s">
        <v>22</v>
      </c>
      <c r="F19" s="25"/>
      <c r="G19" s="26">
        <v>10500</v>
      </c>
    </row>
    <row r="20" ht="15">
      <c r="B20" s="27" t="s">
        <v>23</v>
      </c>
      <c r="C20" s="28"/>
      <c r="D20" s="28"/>
      <c r="E20" s="29"/>
      <c r="F20" s="30">
        <f>+F4+F5+F6+F7+F8+F9+F10+F11+F12+F13</f>
        <v>568830</v>
      </c>
      <c r="G20" s="31">
        <f>+G14+G15+G16+G17+G18+G19</f>
        <v>56250</v>
      </c>
    </row>
    <row r="21" ht="15">
      <c r="B21" s="32" t="s">
        <v>24</v>
      </c>
      <c r="C21" s="28"/>
      <c r="D21" s="28"/>
      <c r="E21" s="29"/>
      <c r="F21" s="33">
        <f>+F20+G20</f>
        <v>625080</v>
      </c>
      <c r="G21" s="31"/>
    </row>
  </sheetData>
  <mergeCells count="5">
    <mergeCell ref="B2:G2"/>
    <mergeCell ref="F3:G3"/>
    <mergeCell ref="B20:E20"/>
    <mergeCell ref="B21:E21"/>
    <mergeCell ref="F21:G2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Sanca</dc:creator>
  <cp:revision>1</cp:revision>
  <dcterms:created xsi:type="dcterms:W3CDTF">2026-05-29T00:45:55Z</dcterms:created>
  <dcterms:modified xsi:type="dcterms:W3CDTF">2026-06-10T03:01:52Z</dcterms:modified>
</cp:coreProperties>
</file>